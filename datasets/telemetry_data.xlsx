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datasets\"/>
    </mc:Choice>
  </mc:AlternateContent>
  <xr:revisionPtr revIDLastSave="0" documentId="13_ncr:1_{361A95D5-B11F-45C9-BA30-CA2EA518EE0C}" xr6:coauthVersionLast="47" xr6:coauthVersionMax="47" xr10:uidLastSave="{00000000-0000-0000-0000-000000000000}"/>
  <bookViews>
    <workbookView xWindow="-21697" yWindow="-98" windowWidth="21795" windowHeight="12975" xr2:uid="{2234436E-674D-4738-95F1-8EFD87B48E43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T29" i="1"/>
  <c r="T28" i="1"/>
  <c r="T27" i="1"/>
  <c r="T26" i="1"/>
  <c r="L29" i="1"/>
  <c r="L28" i="1"/>
  <c r="L27" i="1"/>
  <c r="L26" i="1"/>
  <c r="L25" i="1"/>
  <c r="T25" i="1"/>
  <c r="D13" i="1"/>
  <c r="D12" i="1"/>
  <c r="D11" i="1"/>
  <c r="D10" i="1"/>
  <c r="D8" i="1"/>
  <c r="D7" i="1"/>
  <c r="D6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Leonor Guedes</author>
  </authors>
  <commentList>
    <comment ref="A5" authorId="0" shapeId="0" xr:uid="{E4830BA4-A153-4EEB-90BA-ACFF57DA286E}">
      <text>
        <r>
          <rPr>
            <sz val="9"/>
            <color indexed="81"/>
            <rFont val="Tahoma"/>
            <family val="2"/>
          </rPr>
          <t>Situação 1: 2 carros a arder</t>
        </r>
      </text>
    </comment>
    <comment ref="A10" authorId="0" shapeId="0" xr:uid="{74A6997C-8C2B-498A-9371-B5F0E2900F86}">
      <text>
        <r>
          <rPr>
            <sz val="9"/>
            <color indexed="81"/>
            <rFont val="Tahoma"/>
            <family val="2"/>
          </rPr>
          <t>Situação 2: 1º andar de prédio a arder, várias pessoas no exterior</t>
        </r>
      </text>
    </comment>
    <comment ref="A15" authorId="0" shapeId="0" xr:uid="{A765EC46-55BE-4FB4-8BE8-69D68CB93CEF}">
      <text>
        <r>
          <rPr>
            <sz val="9"/>
            <color indexed="81"/>
            <rFont val="Tahoma"/>
            <family val="2"/>
          </rPr>
          <t>Situação 3: Incêndio na floresta ao redor de casa</t>
        </r>
      </text>
    </comment>
    <comment ref="A20" authorId="0" shapeId="0" xr:uid="{7BC9C3A9-09ED-4D98-A90F-795C0C82C11B}">
      <text>
        <r>
          <rPr>
            <sz val="9"/>
            <color indexed="81"/>
            <rFont val="Tahoma"/>
            <family val="2"/>
          </rPr>
          <t>Situação 4: Incêndio na autoestrada</t>
        </r>
      </text>
    </comment>
    <comment ref="A25" authorId="0" shapeId="0" xr:uid="{E1DA3650-7288-4242-922A-DA7260614DD7}">
      <text>
        <r>
          <rPr>
            <sz val="9"/>
            <color indexed="81"/>
            <rFont val="Tahoma"/>
            <charset val="1"/>
          </rPr>
          <t xml:space="preserve">Situação 5: Pós-desastre em autoestrada
</t>
        </r>
      </text>
    </comment>
  </commentList>
</comments>
</file>

<file path=xl/sharedStrings.xml><?xml version="1.0" encoding="utf-8"?>
<sst xmlns="http://schemas.openxmlformats.org/spreadsheetml/2006/main" count="35" uniqueCount="13">
  <si>
    <t>id</t>
  </si>
  <si>
    <t>x (m)</t>
  </si>
  <si>
    <t>y (m)</t>
  </si>
  <si>
    <t>z (m)</t>
  </si>
  <si>
    <t>pitch (º)</t>
  </si>
  <si>
    <t>yaw (º)</t>
  </si>
  <si>
    <t>roll (º)</t>
  </si>
  <si>
    <t>DIA</t>
  </si>
  <si>
    <t>NOITE</t>
  </si>
  <si>
    <t xml:space="preserve">FOV: </t>
  </si>
  <si>
    <t xml:space="preserve">Aspect Ratio: </t>
  </si>
  <si>
    <t>TARDE</t>
  </si>
  <si>
    <t>Triangulação: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</si>
</sst>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173D-BC84-4727-B2B3-26318EEF624E}">
  <dimension ref="A1:W33"/>
  <sheetViews>
    <sheetView tabSelected="1" topLeftCell="A18" workbookViewId="0">
      <selection activeCell="H38" sqref="H38"/>
    </sheetView>
  </sheetViews>
  <sheetFormatPr defaultRowHeight="15" x14ac:dyDescent="0.25"/>
  <cols>
    <col min="2" max="3" width="9.7109375" bestFit="1" customWidth="1"/>
    <col min="10" max="10" width="9.42578125" customWidth="1"/>
    <col min="11" max="11" width="9.7109375" bestFit="1" customWidth="1"/>
    <col min="17" max="17" width="10.140625" customWidth="1"/>
    <col min="18" max="19" width="9.7109375" bestFit="1" customWidth="1"/>
  </cols>
  <sheetData>
    <row r="1" spans="1:23" x14ac:dyDescent="0.25">
      <c r="A1" s="9" t="s">
        <v>10</v>
      </c>
      <c r="B1" s="9"/>
      <c r="C1" s="6">
        <v>1.778</v>
      </c>
      <c r="E1" s="5" t="s">
        <v>9</v>
      </c>
      <c r="F1" s="6">
        <v>90</v>
      </c>
    </row>
    <row r="3" spans="1:23" x14ac:dyDescent="0.25">
      <c r="A3" s="8" t="s">
        <v>11</v>
      </c>
      <c r="B3" s="8"/>
      <c r="C3" s="8"/>
      <c r="D3" s="8"/>
      <c r="E3" s="8"/>
      <c r="F3" s="8"/>
      <c r="G3" s="8"/>
      <c r="I3" s="8" t="s">
        <v>8</v>
      </c>
      <c r="J3" s="8"/>
      <c r="K3" s="8"/>
      <c r="L3" s="8"/>
      <c r="M3" s="8"/>
      <c r="N3" s="8"/>
      <c r="O3" s="8"/>
      <c r="Q3" s="8" t="s">
        <v>7</v>
      </c>
      <c r="R3" s="8"/>
      <c r="S3" s="8"/>
      <c r="T3" s="8"/>
      <c r="U3" s="8"/>
      <c r="V3" s="8"/>
      <c r="W3" s="8"/>
    </row>
    <row r="4" spans="1:23" ht="15.75" thickBo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I4" s="2" t="s">
        <v>0</v>
      </c>
      <c r="J4" s="2" t="s">
        <v>1</v>
      </c>
      <c r="K4" s="2" t="s">
        <v>2</v>
      </c>
      <c r="L4" s="2" t="s">
        <v>3</v>
      </c>
      <c r="M4" s="2" t="s">
        <v>4</v>
      </c>
      <c r="N4" s="2" t="s">
        <v>5</v>
      </c>
      <c r="O4" s="2" t="s">
        <v>6</v>
      </c>
      <c r="Q4" s="2" t="s">
        <v>0</v>
      </c>
      <c r="R4" s="2" t="s">
        <v>1</v>
      </c>
      <c r="S4" s="2" t="s">
        <v>2</v>
      </c>
      <c r="T4" s="2" t="s">
        <v>3</v>
      </c>
      <c r="U4" s="2" t="s">
        <v>4</v>
      </c>
      <c r="V4" s="2" t="s">
        <v>5</v>
      </c>
      <c r="W4" s="2" t="s">
        <v>6</v>
      </c>
    </row>
    <row r="5" spans="1:23" x14ac:dyDescent="0.25">
      <c r="A5" s="1">
        <v>0</v>
      </c>
      <c r="B5" s="1">
        <v>-230.14</v>
      </c>
      <c r="C5" s="1">
        <v>-31.368300000000001</v>
      </c>
      <c r="D5" s="1">
        <f>27.695-0.15</f>
        <v>27.545000000000002</v>
      </c>
      <c r="E5" s="1">
        <v>-89.03</v>
      </c>
      <c r="F5" s="1">
        <v>-179.9</v>
      </c>
      <c r="G5" s="1">
        <v>0</v>
      </c>
      <c r="I5" s="1">
        <v>12</v>
      </c>
      <c r="J5" s="1">
        <v>-230.63849999999999</v>
      </c>
      <c r="K5" s="1">
        <v>-33.122480000000003</v>
      </c>
      <c r="L5" s="1">
        <v>24.837399999999999</v>
      </c>
      <c r="M5" s="1">
        <v>-88.33</v>
      </c>
      <c r="N5" s="1">
        <v>-179.72</v>
      </c>
      <c r="O5" s="1">
        <v>0</v>
      </c>
      <c r="Q5" s="1">
        <v>26</v>
      </c>
      <c r="R5" s="1">
        <v>-228.3706</v>
      </c>
      <c r="S5" s="1">
        <v>44.76</v>
      </c>
      <c r="T5" s="1">
        <v>22.4434</v>
      </c>
      <c r="U5" s="1">
        <v>-89.91</v>
      </c>
      <c r="V5" s="1">
        <v>138.09</v>
      </c>
      <c r="W5" s="1">
        <v>0</v>
      </c>
    </row>
    <row r="6" spans="1:23" x14ac:dyDescent="0.25">
      <c r="A6" s="1">
        <v>1</v>
      </c>
      <c r="B6" s="1">
        <v>-237.2346</v>
      </c>
      <c r="C6" s="1">
        <v>-9.6920000000000002</v>
      </c>
      <c r="D6" s="1">
        <f>14.7535-0.15</f>
        <v>14.6035</v>
      </c>
      <c r="E6" s="1">
        <v>-27.18</v>
      </c>
      <c r="F6" s="1">
        <v>-87.88</v>
      </c>
      <c r="G6" s="1">
        <v>0</v>
      </c>
      <c r="H6" s="1"/>
      <c r="I6" s="1">
        <v>13</v>
      </c>
      <c r="J6" s="1">
        <v>-234.9452</v>
      </c>
      <c r="K6" s="1">
        <v>-66.037300000000002</v>
      </c>
      <c r="L6" s="1">
        <v>18.337800000000001</v>
      </c>
      <c r="M6" s="1">
        <v>-32.340000000000003</v>
      </c>
      <c r="N6" s="1">
        <v>89.01</v>
      </c>
      <c r="O6" s="1">
        <v>-1</v>
      </c>
      <c r="Q6" s="1">
        <v>27</v>
      </c>
      <c r="R6" s="1">
        <v>-227.4435</v>
      </c>
      <c r="S6" s="1">
        <v>-5.6548999999999996</v>
      </c>
      <c r="T6" s="1">
        <v>13.268700000000001</v>
      </c>
      <c r="U6" s="1">
        <v>-26.11</v>
      </c>
      <c r="V6" s="1">
        <v>-102.81</v>
      </c>
      <c r="W6" s="1">
        <v>0</v>
      </c>
    </row>
    <row r="7" spans="1:23" x14ac:dyDescent="0.25">
      <c r="A7" s="1">
        <v>2</v>
      </c>
      <c r="B7" s="1">
        <v>-247.41159999999999</v>
      </c>
      <c r="C7" s="1">
        <v>-30.372199999999999</v>
      </c>
      <c r="D7" s="1">
        <f>11.5994-0.15</f>
        <v>11.449399999999999</v>
      </c>
      <c r="E7" s="1">
        <v>-21.51</v>
      </c>
      <c r="F7" s="1">
        <v>-2.77</v>
      </c>
      <c r="G7" s="1">
        <v>0</v>
      </c>
      <c r="H7" s="1"/>
      <c r="I7" s="1">
        <v>14</v>
      </c>
      <c r="J7" s="1">
        <v>-249.71709999999999</v>
      </c>
      <c r="K7" s="1">
        <v>-31.025200000000002</v>
      </c>
      <c r="L7" s="1">
        <v>14.4107</v>
      </c>
      <c r="M7" s="1">
        <v>-24.02</v>
      </c>
      <c r="N7" s="1">
        <v>-0.63</v>
      </c>
      <c r="O7" s="1">
        <v>0</v>
      </c>
      <c r="Q7" s="1">
        <v>28</v>
      </c>
      <c r="R7" s="1">
        <v>-251.1414</v>
      </c>
      <c r="S7" s="1">
        <v>-39.953699999999998</v>
      </c>
      <c r="T7" s="1">
        <v>8.4541000000000004</v>
      </c>
      <c r="U7" s="1">
        <v>-15.64</v>
      </c>
      <c r="V7" s="1">
        <v>-4.71</v>
      </c>
      <c r="W7" s="1">
        <v>0</v>
      </c>
    </row>
    <row r="8" spans="1:23" x14ac:dyDescent="0.25">
      <c r="A8" s="1">
        <v>3</v>
      </c>
      <c r="B8" s="1">
        <v>-236.8646</v>
      </c>
      <c r="C8" s="1">
        <v>-67.760900000000007</v>
      </c>
      <c r="D8" s="1">
        <f>19.4829-0.15</f>
        <v>19.332900000000002</v>
      </c>
      <c r="E8" s="1">
        <v>-29.04</v>
      </c>
      <c r="F8" s="1">
        <v>86.91</v>
      </c>
      <c r="G8" s="1">
        <v>0</v>
      </c>
      <c r="H8" s="1"/>
      <c r="I8" s="1">
        <v>15</v>
      </c>
      <c r="J8" s="1">
        <v>-238.80690000000001</v>
      </c>
      <c r="K8" s="1">
        <v>-11.432700000000001</v>
      </c>
      <c r="L8" s="1">
        <v>12.275600000000001</v>
      </c>
      <c r="M8" s="1">
        <v>-28.71</v>
      </c>
      <c r="N8" s="1">
        <v>-91.45</v>
      </c>
      <c r="O8" s="1">
        <v>0</v>
      </c>
      <c r="Q8" s="1">
        <v>29</v>
      </c>
      <c r="R8" s="1">
        <v>-236.29150000000001</v>
      </c>
      <c r="S8" s="1">
        <v>-55.639699999999998</v>
      </c>
      <c r="T8" s="1">
        <v>17.2331</v>
      </c>
      <c r="U8" s="1">
        <v>-35.799999999999997</v>
      </c>
      <c r="V8" s="1">
        <v>87.24</v>
      </c>
      <c r="W8" s="1">
        <v>0</v>
      </c>
    </row>
    <row r="9" spans="1:23" x14ac:dyDescent="0.25">
      <c r="A9" s="1">
        <v>54</v>
      </c>
      <c r="B9" s="1">
        <v>-224.0883</v>
      </c>
      <c r="C9" s="1">
        <v>-1049.74</v>
      </c>
      <c r="D9" s="1">
        <v>12.7407</v>
      </c>
      <c r="E9" s="1">
        <v>-26.77</v>
      </c>
      <c r="F9" s="1">
        <v>-114.95</v>
      </c>
      <c r="G9" s="1">
        <v>-19.989999999999998</v>
      </c>
      <c r="H9" s="1"/>
      <c r="I9" s="4">
        <v>58</v>
      </c>
      <c r="J9" s="4">
        <v>-241.21379999999999</v>
      </c>
      <c r="K9" s="4">
        <v>-33.158200000000001</v>
      </c>
      <c r="L9" s="4">
        <v>13.4253</v>
      </c>
      <c r="M9" s="4">
        <v>-39.86</v>
      </c>
      <c r="N9" s="4">
        <v>-55.11</v>
      </c>
      <c r="O9" s="4">
        <v>12</v>
      </c>
      <c r="Q9" s="4">
        <v>57</v>
      </c>
      <c r="R9" s="4">
        <v>-264.3895</v>
      </c>
      <c r="S9" s="4">
        <v>-40.172600000000003</v>
      </c>
      <c r="T9" s="4">
        <v>19.555399999999999</v>
      </c>
      <c r="U9" s="4">
        <v>-35.799999999999997</v>
      </c>
      <c r="V9" s="4">
        <v>38.74</v>
      </c>
      <c r="W9" s="4">
        <v>4</v>
      </c>
    </row>
    <row r="10" spans="1:23" x14ac:dyDescent="0.25">
      <c r="A10" s="3">
        <v>4</v>
      </c>
      <c r="B10" s="3">
        <v>-130.8605</v>
      </c>
      <c r="C10" s="3">
        <v>-32.230400000000003</v>
      </c>
      <c r="D10" s="3">
        <f>15.635-0.15</f>
        <v>15.484999999999999</v>
      </c>
      <c r="E10" s="3">
        <v>-21</v>
      </c>
      <c r="F10" s="3">
        <v>-0.85</v>
      </c>
      <c r="G10" s="3">
        <v>0</v>
      </c>
      <c r="H10" s="1"/>
      <c r="I10" s="1">
        <v>16</v>
      </c>
      <c r="J10" s="1">
        <v>-127.29819999999999</v>
      </c>
      <c r="K10" s="1">
        <v>-27.9102</v>
      </c>
      <c r="L10" s="1">
        <v>141.702</v>
      </c>
      <c r="M10" s="1">
        <v>-19.079999999999998</v>
      </c>
      <c r="N10" s="1">
        <v>1.47</v>
      </c>
      <c r="O10" s="1">
        <v>0</v>
      </c>
      <c r="Q10" s="1">
        <v>30</v>
      </c>
      <c r="R10" s="1">
        <v>-128.2295</v>
      </c>
      <c r="S10" s="1">
        <v>-43.11</v>
      </c>
      <c r="T10" s="1">
        <v>10.358700000000001</v>
      </c>
      <c r="U10" s="1">
        <v>-12.8</v>
      </c>
      <c r="V10" s="1">
        <v>0.28000000000000003</v>
      </c>
      <c r="W10" s="1">
        <v>0</v>
      </c>
    </row>
    <row r="11" spans="1:23" x14ac:dyDescent="0.25">
      <c r="A11" s="1">
        <v>5</v>
      </c>
      <c r="B11" s="1">
        <v>-122.5158</v>
      </c>
      <c r="C11" s="1">
        <v>-54.505400000000002</v>
      </c>
      <c r="D11" s="1">
        <f>10.7995-0.15</f>
        <v>10.6495</v>
      </c>
      <c r="E11" s="1">
        <v>-14.47</v>
      </c>
      <c r="F11" s="1">
        <v>43.37</v>
      </c>
      <c r="G11" s="1">
        <v>0</v>
      </c>
      <c r="H11" s="1"/>
      <c r="I11" s="1">
        <v>17</v>
      </c>
      <c r="J11" s="1">
        <v>-129.9802</v>
      </c>
      <c r="K11" s="1">
        <v>-57.279899999999998</v>
      </c>
      <c r="L11" s="1">
        <v>12.9245</v>
      </c>
      <c r="M11" s="1">
        <v>-14.52</v>
      </c>
      <c r="N11" s="1">
        <v>45.74</v>
      </c>
      <c r="O11" s="1">
        <v>0</v>
      </c>
      <c r="Q11" s="1">
        <v>31</v>
      </c>
      <c r="R11" s="1">
        <v>-129.1523</v>
      </c>
      <c r="S11" s="1">
        <v>-69.442899999999995</v>
      </c>
      <c r="T11" s="1">
        <v>28.3171</v>
      </c>
      <c r="U11" s="1">
        <v>-31.76</v>
      </c>
      <c r="V11" s="1">
        <v>45.68</v>
      </c>
      <c r="W11" s="1">
        <v>0</v>
      </c>
    </row>
    <row r="12" spans="1:23" x14ac:dyDescent="0.25">
      <c r="A12" s="1">
        <v>6</v>
      </c>
      <c r="B12" s="1">
        <v>-124.38930000000001</v>
      </c>
      <c r="C12" s="1">
        <v>-0.61170000000000002</v>
      </c>
      <c r="D12" s="1">
        <f>14.1159-0.15</f>
        <v>13.9659</v>
      </c>
      <c r="E12" s="1">
        <v>-16.66</v>
      </c>
      <c r="F12" s="1">
        <v>-32.950000000000003</v>
      </c>
      <c r="G12" s="1">
        <v>0</v>
      </c>
      <c r="H12" s="1"/>
      <c r="I12" s="1">
        <v>18</v>
      </c>
      <c r="J12" s="1">
        <v>-113.6253</v>
      </c>
      <c r="K12" s="1">
        <v>-0.51929999999999998</v>
      </c>
      <c r="L12" s="1">
        <v>15.237500000000001</v>
      </c>
      <c r="M12" s="1">
        <v>-31.21</v>
      </c>
      <c r="N12" s="1">
        <v>-48.05</v>
      </c>
      <c r="O12" s="1">
        <v>-4</v>
      </c>
      <c r="Q12" s="1">
        <v>32</v>
      </c>
      <c r="R12" s="1">
        <v>-108.64579999999999</v>
      </c>
      <c r="S12" s="1">
        <v>8.7551000000000005</v>
      </c>
      <c r="T12" s="1">
        <v>16.599699999999999</v>
      </c>
      <c r="U12" s="1">
        <v>-26.06</v>
      </c>
      <c r="V12" s="1">
        <v>-56.3</v>
      </c>
      <c r="W12" s="1">
        <v>0</v>
      </c>
    </row>
    <row r="13" spans="1:23" x14ac:dyDescent="0.25">
      <c r="A13" s="1">
        <v>7</v>
      </c>
      <c r="B13" s="1">
        <v>-106.5181</v>
      </c>
      <c r="C13" s="1">
        <v>-25.533799999999999</v>
      </c>
      <c r="D13" s="1">
        <f>29.32-0.15</f>
        <v>29.17</v>
      </c>
      <c r="E13" s="1">
        <v>-89.89</v>
      </c>
      <c r="F13" s="1">
        <v>-179.84</v>
      </c>
      <c r="G13" s="1">
        <v>0</v>
      </c>
      <c r="H13" s="1"/>
      <c r="I13" s="1">
        <v>19</v>
      </c>
      <c r="J13" s="1">
        <v>-99.506399999999999</v>
      </c>
      <c r="K13" s="1">
        <v>-16.509</v>
      </c>
      <c r="L13" s="1">
        <v>29.942299999999999</v>
      </c>
      <c r="M13" s="1">
        <v>-89.89</v>
      </c>
      <c r="N13" s="1">
        <v>179.85</v>
      </c>
      <c r="O13" s="1">
        <v>0</v>
      </c>
      <c r="Q13" s="1">
        <v>33</v>
      </c>
      <c r="R13" s="1">
        <v>-108.6022</v>
      </c>
      <c r="S13" s="1">
        <v>-18.148399999999999</v>
      </c>
      <c r="T13" s="1">
        <v>40.013300000000001</v>
      </c>
      <c r="U13" s="1">
        <v>-89.9</v>
      </c>
      <c r="V13" s="1">
        <v>88.34</v>
      </c>
      <c r="W13" s="1">
        <v>0</v>
      </c>
    </row>
    <row r="14" spans="1:23" x14ac:dyDescent="0.25">
      <c r="A14" s="4">
        <v>25</v>
      </c>
      <c r="B14" s="4">
        <v>-102.6936</v>
      </c>
      <c r="C14" s="4">
        <v>-159.38</v>
      </c>
      <c r="D14" s="4">
        <v>24.412800000000001</v>
      </c>
      <c r="E14" s="4">
        <v>-89.89</v>
      </c>
      <c r="F14" s="4">
        <v>179.63</v>
      </c>
      <c r="G14" s="4">
        <v>0</v>
      </c>
      <c r="H14" s="1"/>
      <c r="I14" s="4">
        <v>20</v>
      </c>
      <c r="J14" s="4">
        <v>-105.6157</v>
      </c>
      <c r="K14" s="4">
        <v>-30.9361</v>
      </c>
      <c r="L14" s="4">
        <v>28.046399999999998</v>
      </c>
      <c r="M14" s="4">
        <v>-89.9</v>
      </c>
      <c r="N14" s="4">
        <v>179.37</v>
      </c>
      <c r="O14" s="4">
        <v>0</v>
      </c>
      <c r="Q14" s="4">
        <v>34</v>
      </c>
      <c r="R14" s="4">
        <v>-103.1442</v>
      </c>
      <c r="S14" s="4">
        <v>-46.465400000000002</v>
      </c>
      <c r="T14" s="4">
        <v>27.4877</v>
      </c>
      <c r="U14" s="4">
        <v>-89.9</v>
      </c>
      <c r="V14" s="4">
        <v>-16.329999999999998</v>
      </c>
      <c r="W14" s="4">
        <v>0</v>
      </c>
    </row>
    <row r="15" spans="1:23" x14ac:dyDescent="0.25">
      <c r="A15" s="1">
        <v>8</v>
      </c>
      <c r="B15" s="1">
        <v>-97.271799999999999</v>
      </c>
      <c r="C15" s="1">
        <v>-83.494600000000005</v>
      </c>
      <c r="D15" s="1">
        <v>24.952200000000001</v>
      </c>
      <c r="E15" s="1">
        <v>-20.5</v>
      </c>
      <c r="F15" s="1">
        <v>-79.3</v>
      </c>
      <c r="G15" s="1">
        <v>0</v>
      </c>
      <c r="H15" s="1"/>
      <c r="I15" s="1">
        <v>21</v>
      </c>
      <c r="J15" s="1">
        <v>-116.0668</v>
      </c>
      <c r="K15" s="1">
        <v>-92.620800000000003</v>
      </c>
      <c r="L15" s="1">
        <v>12.8261</v>
      </c>
      <c r="M15" s="1">
        <v>-8.9600000000000009</v>
      </c>
      <c r="N15" s="1">
        <v>-67.260000000000005</v>
      </c>
      <c r="O15" s="1">
        <v>0</v>
      </c>
      <c r="Q15" s="1">
        <v>35</v>
      </c>
      <c r="R15" s="1">
        <v>-142.0711</v>
      </c>
      <c r="S15" s="1">
        <v>-131.68770000000001</v>
      </c>
      <c r="T15" s="1">
        <v>25.784400000000002</v>
      </c>
      <c r="U15" s="1">
        <v>-24.11</v>
      </c>
      <c r="V15" s="1">
        <v>-12.05</v>
      </c>
      <c r="W15" s="1">
        <v>0</v>
      </c>
    </row>
    <row r="16" spans="1:23" x14ac:dyDescent="0.25">
      <c r="A16" s="1">
        <v>9</v>
      </c>
      <c r="B16" s="1">
        <v>-93.791399999999996</v>
      </c>
      <c r="C16" s="1">
        <v>-138.0746</v>
      </c>
      <c r="D16" s="1">
        <v>58.879399999999997</v>
      </c>
      <c r="E16" s="1">
        <v>-89.9</v>
      </c>
      <c r="F16" s="1">
        <v>74.95</v>
      </c>
      <c r="G16" s="1">
        <v>0</v>
      </c>
      <c r="H16" s="1"/>
      <c r="I16" s="1">
        <v>22</v>
      </c>
      <c r="J16" s="1">
        <v>-112.4436</v>
      </c>
      <c r="K16" s="1">
        <v>-134.709</v>
      </c>
      <c r="L16" s="1">
        <v>36.277500000000003</v>
      </c>
      <c r="M16" s="1">
        <v>-89.72</v>
      </c>
      <c r="N16" s="1">
        <v>132.43</v>
      </c>
      <c r="O16" s="1">
        <v>0</v>
      </c>
      <c r="Q16" s="1">
        <v>36</v>
      </c>
      <c r="R16" s="1">
        <v>-105.871</v>
      </c>
      <c r="S16" s="1">
        <v>-181.32380000000001</v>
      </c>
      <c r="T16" s="1">
        <v>43.9208</v>
      </c>
      <c r="U16" s="1">
        <v>-40.659999999999997</v>
      </c>
      <c r="V16" s="1">
        <v>57.54</v>
      </c>
      <c r="W16" s="1">
        <v>0</v>
      </c>
    </row>
    <row r="17" spans="1:23" x14ac:dyDescent="0.25">
      <c r="A17" s="1">
        <v>10</v>
      </c>
      <c r="B17" s="1">
        <v>-36.211100000000002</v>
      </c>
      <c r="C17" s="1">
        <v>-84.478300000000004</v>
      </c>
      <c r="D17" s="1">
        <v>24.5505</v>
      </c>
      <c r="E17" s="1">
        <v>-19.190000000000001</v>
      </c>
      <c r="F17" s="1">
        <v>-101.82</v>
      </c>
      <c r="G17" s="1">
        <v>0</v>
      </c>
      <c r="H17" s="1"/>
      <c r="I17" s="1">
        <v>23</v>
      </c>
      <c r="J17" s="1">
        <v>-35.4315</v>
      </c>
      <c r="K17" s="1">
        <v>-91.5351</v>
      </c>
      <c r="L17" s="1">
        <v>15.973100000000001</v>
      </c>
      <c r="M17" s="1">
        <v>-14.08</v>
      </c>
      <c r="N17" s="1">
        <v>-106.11</v>
      </c>
      <c r="O17" s="1">
        <v>0</v>
      </c>
      <c r="Q17" s="1">
        <v>37</v>
      </c>
      <c r="R17" s="1">
        <v>-66.143500000000003</v>
      </c>
      <c r="S17" s="1">
        <v>-74.257599999999996</v>
      </c>
      <c r="T17" s="1">
        <v>21.439699999999998</v>
      </c>
      <c r="U17" s="1">
        <v>-17.11</v>
      </c>
      <c r="V17" s="1">
        <v>-73.59</v>
      </c>
      <c r="W17" s="1">
        <v>0</v>
      </c>
    </row>
    <row r="18" spans="1:23" x14ac:dyDescent="0.25">
      <c r="A18" s="1">
        <v>11</v>
      </c>
      <c r="B18" s="1">
        <v>-63.553400000000003</v>
      </c>
      <c r="C18" s="1">
        <v>-162.94980000000001</v>
      </c>
      <c r="D18" s="1">
        <v>29.4072</v>
      </c>
      <c r="E18" s="1">
        <v>-31.05</v>
      </c>
      <c r="F18" s="1">
        <v>-42.61</v>
      </c>
      <c r="G18" s="1">
        <v>0</v>
      </c>
      <c r="H18" s="1"/>
      <c r="I18" s="1">
        <v>24</v>
      </c>
      <c r="J18" s="1">
        <v>-56.853200000000001</v>
      </c>
      <c r="K18" s="1">
        <v>-150.84530000000001</v>
      </c>
      <c r="L18" s="1">
        <v>30.235399999999998</v>
      </c>
      <c r="M18" s="1">
        <v>-40.28</v>
      </c>
      <c r="N18" s="1">
        <v>60.32</v>
      </c>
      <c r="O18" s="1">
        <v>0</v>
      </c>
      <c r="Q18" s="1">
        <v>38</v>
      </c>
      <c r="R18" s="1">
        <v>-26.745999999999999</v>
      </c>
      <c r="S18" s="1">
        <v>-161.8152</v>
      </c>
      <c r="T18" s="1">
        <v>39.020200000000003</v>
      </c>
      <c r="U18" s="1">
        <v>-45.35</v>
      </c>
      <c r="V18" s="1">
        <v>99.99</v>
      </c>
      <c r="W18" s="1">
        <v>0</v>
      </c>
    </row>
    <row r="19" spans="1:23" x14ac:dyDescent="0.25">
      <c r="A19" s="4">
        <v>55</v>
      </c>
      <c r="B19" s="4">
        <v>-67.667100000000005</v>
      </c>
      <c r="C19" s="4">
        <v>-103.5132</v>
      </c>
      <c r="D19" s="4">
        <v>34.253900000000002</v>
      </c>
      <c r="E19" s="4">
        <v>-43.72</v>
      </c>
      <c r="F19" s="4">
        <v>-58.3</v>
      </c>
      <c r="G19" s="4">
        <v>11</v>
      </c>
      <c r="H19" s="1"/>
      <c r="I19" s="4">
        <v>59</v>
      </c>
      <c r="J19" s="4">
        <v>-90.242500000000007</v>
      </c>
      <c r="K19" s="4">
        <v>-81.396699999999996</v>
      </c>
      <c r="L19" s="4">
        <v>25.928599999999999</v>
      </c>
      <c r="M19" s="4">
        <v>-22.49</v>
      </c>
      <c r="N19" s="4">
        <v>-80.900000000000006</v>
      </c>
      <c r="O19" s="4">
        <v>6</v>
      </c>
      <c r="Q19" s="4">
        <v>56</v>
      </c>
      <c r="R19" s="4">
        <v>-104.87990000000001</v>
      </c>
      <c r="S19" s="4">
        <v>-117.4862</v>
      </c>
      <c r="T19" s="4">
        <v>47.889200000000002</v>
      </c>
      <c r="U19" s="4">
        <v>-58.36</v>
      </c>
      <c r="V19" s="4">
        <v>-47.46</v>
      </c>
      <c r="W19" s="4">
        <v>-12.99</v>
      </c>
    </row>
    <row r="20" spans="1:23" x14ac:dyDescent="0.25">
      <c r="A20" s="1">
        <v>44</v>
      </c>
      <c r="B20" s="1">
        <v>-2.7126000000000001</v>
      </c>
      <c r="C20" s="1">
        <v>183.1977</v>
      </c>
      <c r="D20" s="1">
        <v>19.450099999999999</v>
      </c>
      <c r="E20" s="1">
        <v>-31.23</v>
      </c>
      <c r="F20" s="1">
        <v>88.26</v>
      </c>
      <c r="G20" s="1">
        <v>0</v>
      </c>
      <c r="H20" s="1"/>
      <c r="I20" s="1">
        <v>49</v>
      </c>
      <c r="J20">
        <v>-4.7767999999999997</v>
      </c>
      <c r="K20" s="1">
        <v>67.472099999999998</v>
      </c>
      <c r="L20" s="1">
        <v>10.918699999999999</v>
      </c>
      <c r="M20" s="1">
        <v>-24.03</v>
      </c>
      <c r="N20" s="1">
        <v>89.87</v>
      </c>
      <c r="O20" s="1">
        <v>0</v>
      </c>
      <c r="Q20" s="1">
        <v>39</v>
      </c>
      <c r="R20" s="1">
        <v>-4.0964</v>
      </c>
      <c r="S20" s="1">
        <v>64.658100000000005</v>
      </c>
      <c r="T20" s="1">
        <v>16.0825</v>
      </c>
      <c r="U20" s="1">
        <v>-28.44</v>
      </c>
      <c r="V20" s="1">
        <v>89.68</v>
      </c>
      <c r="W20" s="1">
        <v>0</v>
      </c>
    </row>
    <row r="21" spans="1:23" x14ac:dyDescent="0.25">
      <c r="A21" s="1">
        <v>45</v>
      </c>
      <c r="B21" s="1">
        <v>-3.9256000000000002</v>
      </c>
      <c r="C21" s="1">
        <v>175.6797</v>
      </c>
      <c r="D21" s="1">
        <v>16.6585</v>
      </c>
      <c r="E21" s="1">
        <v>-29.96</v>
      </c>
      <c r="F21" s="1">
        <v>-87.61</v>
      </c>
      <c r="G21" s="1">
        <v>0</v>
      </c>
      <c r="H21" s="1"/>
      <c r="I21" s="1">
        <v>50</v>
      </c>
      <c r="J21" s="1">
        <v>-2.8999000000000001</v>
      </c>
      <c r="K21" s="1">
        <v>169.21700000000001</v>
      </c>
      <c r="L21" s="1">
        <v>10.254200000000001</v>
      </c>
      <c r="M21" s="1">
        <v>-25.16</v>
      </c>
      <c r="N21" s="1">
        <v>-88.54</v>
      </c>
      <c r="O21" s="1">
        <v>0</v>
      </c>
      <c r="Q21" s="1">
        <v>40</v>
      </c>
      <c r="R21" s="1">
        <v>-9.9055999999999997</v>
      </c>
      <c r="S21" s="1">
        <v>169.30240000000001</v>
      </c>
      <c r="T21" s="1">
        <v>17.540400000000002</v>
      </c>
      <c r="U21" s="1">
        <v>-31.91</v>
      </c>
      <c r="V21" s="1">
        <v>-69.239999999999995</v>
      </c>
      <c r="W21" s="1">
        <v>0</v>
      </c>
    </row>
    <row r="22" spans="1:23" x14ac:dyDescent="0.25">
      <c r="A22" s="1">
        <v>46</v>
      </c>
      <c r="B22" s="1">
        <v>-0.16059999999999999</v>
      </c>
      <c r="C22" s="1">
        <v>117.7865</v>
      </c>
      <c r="D22" s="1">
        <v>22.6113</v>
      </c>
      <c r="E22" s="1">
        <v>-89.89</v>
      </c>
      <c r="F22" s="1">
        <v>-177.05</v>
      </c>
      <c r="G22" s="1">
        <v>0</v>
      </c>
      <c r="H22" s="1"/>
      <c r="I22" s="1">
        <v>51</v>
      </c>
      <c r="J22">
        <v>-4.2683999999999997</v>
      </c>
      <c r="K22" s="1">
        <v>132.44829999999999</v>
      </c>
      <c r="L22" s="1">
        <v>21.471800000000002</v>
      </c>
      <c r="M22" s="1">
        <v>-89.9</v>
      </c>
      <c r="N22" s="1">
        <v>-0.42</v>
      </c>
      <c r="O22" s="1">
        <v>0</v>
      </c>
      <c r="Q22" s="1">
        <v>41</v>
      </c>
      <c r="R22" s="1">
        <v>-4.8293999999999997</v>
      </c>
      <c r="S22" s="1">
        <v>131.58459999999999</v>
      </c>
      <c r="T22" s="1">
        <v>23.928999999999998</v>
      </c>
      <c r="U22" s="1">
        <v>-89.9</v>
      </c>
      <c r="V22" s="1">
        <v>-0.43</v>
      </c>
      <c r="W22" s="1">
        <v>0</v>
      </c>
    </row>
    <row r="23" spans="1:23" x14ac:dyDescent="0.25">
      <c r="A23" s="1">
        <v>47</v>
      </c>
      <c r="B23">
        <v>-15.1242</v>
      </c>
      <c r="C23" s="1">
        <v>110.9015</v>
      </c>
      <c r="D23" s="1">
        <v>14.394600000000001</v>
      </c>
      <c r="E23" s="1">
        <v>-28.87</v>
      </c>
      <c r="F23" s="1">
        <v>30.93</v>
      </c>
      <c r="G23" s="1">
        <v>0</v>
      </c>
      <c r="H23" s="1"/>
      <c r="I23" s="1">
        <v>52</v>
      </c>
      <c r="J23" s="1">
        <v>-16.116499999999998</v>
      </c>
      <c r="K23" s="1">
        <v>94.329099999999997</v>
      </c>
      <c r="L23" s="1">
        <v>18.253699999999998</v>
      </c>
      <c r="M23" s="1">
        <v>-43.26</v>
      </c>
      <c r="N23" s="1">
        <v>16.02</v>
      </c>
      <c r="O23" s="1">
        <v>0</v>
      </c>
      <c r="Q23" s="1">
        <v>42</v>
      </c>
      <c r="R23" s="1">
        <v>-15.042899999999999</v>
      </c>
      <c r="S23" s="1">
        <v>136.44030000000001</v>
      </c>
      <c r="T23" s="1">
        <v>15.8278</v>
      </c>
      <c r="U23" s="1">
        <v>-45.93</v>
      </c>
      <c r="V23" s="1">
        <v>-11.16</v>
      </c>
      <c r="W23" s="1">
        <v>0</v>
      </c>
    </row>
    <row r="24" spans="1:23" x14ac:dyDescent="0.25">
      <c r="A24" s="4">
        <v>48</v>
      </c>
      <c r="B24" s="4">
        <v>6.4855</v>
      </c>
      <c r="C24" s="4">
        <v>173.69069999999999</v>
      </c>
      <c r="D24" s="4">
        <v>15.6877</v>
      </c>
      <c r="E24" s="4">
        <v>-31.11</v>
      </c>
      <c r="F24" s="4">
        <v>-101.94</v>
      </c>
      <c r="G24" s="4">
        <v>0</v>
      </c>
      <c r="H24" s="1"/>
      <c r="I24" s="4">
        <v>53</v>
      </c>
      <c r="J24" s="4">
        <v>9.6996000000000002</v>
      </c>
      <c r="K24" s="4">
        <v>103.2919</v>
      </c>
      <c r="L24" s="4">
        <v>25.166599999999999</v>
      </c>
      <c r="M24" s="4">
        <v>-39.93</v>
      </c>
      <c r="N24" s="4">
        <v>155.09</v>
      </c>
      <c r="O24" s="4">
        <v>0</v>
      </c>
      <c r="Q24" s="4">
        <v>43</v>
      </c>
      <c r="R24" s="4">
        <v>11.0868</v>
      </c>
      <c r="S24" s="4">
        <v>85.544300000000007</v>
      </c>
      <c r="T24" s="4">
        <v>19.829899999999999</v>
      </c>
      <c r="U24" s="4">
        <v>-322.57</v>
      </c>
      <c r="V24" s="4">
        <v>134.4</v>
      </c>
      <c r="W24" s="4">
        <v>0</v>
      </c>
    </row>
    <row r="25" spans="1:23" x14ac:dyDescent="0.25">
      <c r="A25" s="1">
        <v>70</v>
      </c>
      <c r="B25" s="1">
        <v>-92.8994</v>
      </c>
      <c r="C25" s="1">
        <v>73.118300000000005</v>
      </c>
      <c r="D25" s="1">
        <f>18.8593-9.4826</f>
        <v>9.3767000000000014</v>
      </c>
      <c r="E25" s="1">
        <v>-30.04</v>
      </c>
      <c r="F25" s="1">
        <v>85.07</v>
      </c>
      <c r="G25" s="1">
        <v>0</v>
      </c>
      <c r="H25" s="1"/>
      <c r="I25" s="1">
        <v>60</v>
      </c>
      <c r="J25" s="1">
        <v>-94.049899999999994</v>
      </c>
      <c r="K25" s="1">
        <v>72.149000000000001</v>
      </c>
      <c r="L25" s="1">
        <f>21.6857-9.4846</f>
        <v>12.2011</v>
      </c>
      <c r="M25" s="1">
        <v>-33.090000000000003</v>
      </c>
      <c r="N25" s="1">
        <v>86.42</v>
      </c>
      <c r="O25" s="1">
        <v>0</v>
      </c>
      <c r="Q25" s="1">
        <v>65</v>
      </c>
      <c r="R25" s="1">
        <v>-94.121799999999993</v>
      </c>
      <c r="S25" s="1">
        <v>73.642799999999994</v>
      </c>
      <c r="T25" s="1">
        <f>19.8886-9.4826</f>
        <v>10.406000000000001</v>
      </c>
      <c r="U25" s="1">
        <v>-35.049999999999997</v>
      </c>
      <c r="V25" s="1">
        <v>88.89</v>
      </c>
      <c r="W25" s="1">
        <v>0</v>
      </c>
    </row>
    <row r="26" spans="1:23" x14ac:dyDescent="0.25">
      <c r="A26" s="1">
        <v>71</v>
      </c>
      <c r="B26" s="1">
        <v>-95.573899999999995</v>
      </c>
      <c r="C26" s="1">
        <v>166.5147</v>
      </c>
      <c r="D26" s="1">
        <f>20.5194-9.4826</f>
        <v>11.036800000000001</v>
      </c>
      <c r="E26" s="1">
        <v>-33.85</v>
      </c>
      <c r="F26" s="1">
        <v>-95.68</v>
      </c>
      <c r="G26" s="1">
        <v>0</v>
      </c>
      <c r="H26" s="1"/>
      <c r="I26" s="1">
        <v>61</v>
      </c>
      <c r="J26" s="1">
        <v>-95.605800000000002</v>
      </c>
      <c r="K26" s="1">
        <v>150.2115</v>
      </c>
      <c r="L26" s="1">
        <f>18.9456-9.4846</f>
        <v>9.4609999999999985</v>
      </c>
      <c r="M26" s="1">
        <v>-34.86</v>
      </c>
      <c r="N26" s="1">
        <v>-85.81</v>
      </c>
      <c r="O26" s="1">
        <v>-7</v>
      </c>
      <c r="Q26" s="1">
        <v>66</v>
      </c>
      <c r="R26" s="1">
        <v>-95.723299999999995</v>
      </c>
      <c r="S26" s="1">
        <v>149.88659999999999</v>
      </c>
      <c r="T26" s="1">
        <f>20.1939-9.4826</f>
        <v>10.7113</v>
      </c>
      <c r="U26" s="1">
        <v>-36.92</v>
      </c>
      <c r="V26" s="1">
        <v>-84.71</v>
      </c>
      <c r="W26" s="1">
        <v>0</v>
      </c>
    </row>
    <row r="27" spans="1:23" x14ac:dyDescent="0.25">
      <c r="A27" s="1">
        <v>72</v>
      </c>
      <c r="B27" s="1">
        <v>-90.902000000000001</v>
      </c>
      <c r="C27" s="1">
        <v>125.9649</v>
      </c>
      <c r="D27" s="1">
        <f>54.4269-9.4826</f>
        <v>44.944300000000005</v>
      </c>
      <c r="E27" s="1">
        <v>-89.9</v>
      </c>
      <c r="F27" s="1">
        <v>-11.38</v>
      </c>
      <c r="G27" s="1">
        <v>9.91</v>
      </c>
      <c r="H27" s="1"/>
      <c r="I27" s="1">
        <v>62</v>
      </c>
      <c r="J27" s="1">
        <v>-91.978399999999993</v>
      </c>
      <c r="K27" s="1">
        <v>113.5877</v>
      </c>
      <c r="L27" s="1">
        <f>45.1434-9.4846</f>
        <v>35.658799999999999</v>
      </c>
      <c r="M27" s="1">
        <v>-89.89</v>
      </c>
      <c r="N27" s="1">
        <v>-0.13</v>
      </c>
      <c r="O27" s="1">
        <v>0</v>
      </c>
      <c r="Q27" s="1">
        <v>67</v>
      </c>
      <c r="R27" s="1">
        <v>-81.2286</v>
      </c>
      <c r="S27" s="1">
        <v>85.216300000000004</v>
      </c>
      <c r="T27" s="1">
        <f>21.3895-9.4826</f>
        <v>11.906900000000002</v>
      </c>
      <c r="U27" s="1">
        <v>-39.74</v>
      </c>
      <c r="V27" s="1">
        <v>144.71</v>
      </c>
      <c r="W27" s="1">
        <v>0</v>
      </c>
    </row>
    <row r="28" spans="1:23" x14ac:dyDescent="0.25">
      <c r="A28" s="1">
        <v>73</v>
      </c>
      <c r="B28" s="1">
        <v>-107.28189999999999</v>
      </c>
      <c r="C28" s="1">
        <v>82.457800000000006</v>
      </c>
      <c r="D28" s="1">
        <f>24.2638-9.4826</f>
        <v>14.7812</v>
      </c>
      <c r="E28" s="1">
        <v>-33.51</v>
      </c>
      <c r="F28" s="1">
        <v>46.48</v>
      </c>
      <c r="G28" s="1">
        <v>-5</v>
      </c>
      <c r="H28" s="1"/>
      <c r="I28" s="1">
        <v>63</v>
      </c>
      <c r="J28" s="1">
        <v>-86.243300000000005</v>
      </c>
      <c r="K28" s="1">
        <v>90.092399999999998</v>
      </c>
      <c r="L28" s="1">
        <f>23.038-9.4846</f>
        <v>13.5534</v>
      </c>
      <c r="M28" s="1">
        <v>-43.74</v>
      </c>
      <c r="N28" s="1">
        <v>154.13</v>
      </c>
      <c r="O28" s="1">
        <v>18</v>
      </c>
      <c r="Q28" s="1">
        <v>68</v>
      </c>
      <c r="R28" s="1">
        <v>-107.5398</v>
      </c>
      <c r="S28" s="1">
        <v>144.81890000000001</v>
      </c>
      <c r="T28" s="1">
        <f>21.0322-9.4826</f>
        <v>11.5496</v>
      </c>
      <c r="U28" s="1">
        <v>-40.479999999999997</v>
      </c>
      <c r="V28" s="1">
        <v>-42.21</v>
      </c>
      <c r="W28" s="1">
        <v>0</v>
      </c>
    </row>
    <row r="29" spans="1:23" x14ac:dyDescent="0.25">
      <c r="A29" s="4">
        <v>74</v>
      </c>
      <c r="B29" s="4">
        <v>-82.859300000000005</v>
      </c>
      <c r="C29" s="4">
        <v>155.06219999999999</v>
      </c>
      <c r="D29" s="4">
        <f>25.8628-9.4826</f>
        <v>16.380200000000002</v>
      </c>
      <c r="E29" s="4">
        <v>-48.86</v>
      </c>
      <c r="F29" s="4">
        <v>-142.06</v>
      </c>
      <c r="G29" s="4">
        <v>-11.01</v>
      </c>
      <c r="H29" s="1"/>
      <c r="I29" s="4">
        <v>64</v>
      </c>
      <c r="J29" s="4">
        <v>-118.72839999999999</v>
      </c>
      <c r="K29" s="4">
        <v>148.09700000000001</v>
      </c>
      <c r="L29" s="4">
        <f>34.5932-9.4846</f>
        <v>25.108600000000003</v>
      </c>
      <c r="M29" s="4">
        <v>-53.51</v>
      </c>
      <c r="N29" s="4">
        <v>-18.39</v>
      </c>
      <c r="O29" s="4">
        <v>0</v>
      </c>
      <c r="Q29" s="4">
        <v>69</v>
      </c>
      <c r="R29" s="4">
        <v>-116.3704</v>
      </c>
      <c r="S29" s="4">
        <v>124.8411</v>
      </c>
      <c r="T29" s="4">
        <f>33.7054-9.4826</f>
        <v>24.222799999999999</v>
      </c>
      <c r="U29" s="4">
        <v>-52.32</v>
      </c>
      <c r="V29" s="4">
        <v>40.86</v>
      </c>
      <c r="W29" s="4">
        <v>-13.01</v>
      </c>
    </row>
    <row r="30" spans="1:23" x14ac:dyDescent="0.25">
      <c r="A30" s="1">
        <v>79</v>
      </c>
      <c r="B30" s="11">
        <v>-240</v>
      </c>
      <c r="C30" s="11">
        <v>-22.6</v>
      </c>
      <c r="D30" s="11">
        <v>12</v>
      </c>
      <c r="E30" s="11">
        <v>-45</v>
      </c>
      <c r="F30" s="11">
        <v>10</v>
      </c>
      <c r="G30" s="11">
        <v>0</v>
      </c>
      <c r="H30" s="1"/>
      <c r="I30" s="1">
        <v>77</v>
      </c>
      <c r="J30" s="11">
        <v>-240</v>
      </c>
      <c r="K30" s="11">
        <v>-22.6</v>
      </c>
      <c r="L30" s="11">
        <v>12</v>
      </c>
      <c r="M30" s="11">
        <v>-45</v>
      </c>
      <c r="N30" s="11">
        <v>10</v>
      </c>
      <c r="O30" s="11">
        <v>0</v>
      </c>
      <c r="Q30" s="11">
        <v>78</v>
      </c>
      <c r="R30" s="11">
        <v>-240</v>
      </c>
      <c r="S30" s="11">
        <v>-22.6</v>
      </c>
      <c r="T30" s="11">
        <v>12</v>
      </c>
      <c r="U30" s="11">
        <v>-45</v>
      </c>
      <c r="V30" s="11">
        <v>10</v>
      </c>
      <c r="W30" s="11">
        <v>0</v>
      </c>
    </row>
    <row r="31" spans="1:23" x14ac:dyDescent="0.25">
      <c r="A31" s="7"/>
      <c r="B31" s="1"/>
      <c r="C31" s="1"/>
      <c r="D31" s="1"/>
      <c r="E31" s="1"/>
      <c r="F31" s="1"/>
      <c r="G31" s="1"/>
      <c r="H31" s="1"/>
      <c r="I31" s="1"/>
    </row>
    <row r="32" spans="1:23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</sheetData>
  <mergeCells count="4">
    <mergeCell ref="A3:G3"/>
    <mergeCell ref="I3:O3"/>
    <mergeCell ref="A1:B1"/>
    <mergeCell ref="Q3:W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95FA-C55C-491B-B149-162E166AD303}">
  <dimension ref="A1:G7"/>
  <sheetViews>
    <sheetView workbookViewId="0">
      <selection activeCell="I5" sqref="I5"/>
    </sheetView>
  </sheetViews>
  <sheetFormatPr defaultRowHeight="15" x14ac:dyDescent="0.25"/>
  <sheetData>
    <row r="1" spans="1:7" x14ac:dyDescent="0.25">
      <c r="B1" s="10" t="s">
        <v>12</v>
      </c>
      <c r="C1" s="10"/>
    </row>
    <row r="3" spans="1:7" ht="15.75" thickBot="1" x14ac:dyDescent="0.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>
        <v>1</v>
      </c>
      <c r="B4" s="1">
        <v>-187.6892</v>
      </c>
      <c r="C4" s="1">
        <v>154.05760000000001</v>
      </c>
      <c r="D4" s="1">
        <v>12.22932</v>
      </c>
      <c r="E4" s="1">
        <v>-27.87</v>
      </c>
      <c r="F4" s="1">
        <v>140.51</v>
      </c>
      <c r="G4" s="1">
        <v>0</v>
      </c>
    </row>
    <row r="5" spans="1:7" x14ac:dyDescent="0.25">
      <c r="A5">
        <v>2</v>
      </c>
      <c r="B5" s="1">
        <v>-189.3707</v>
      </c>
      <c r="C5" s="1">
        <v>164.9239</v>
      </c>
      <c r="D5" s="1">
        <v>12.9855</v>
      </c>
      <c r="E5" s="1">
        <v>-30.88</v>
      </c>
      <c r="F5" s="1">
        <v>-179.61</v>
      </c>
      <c r="G5" s="1">
        <v>0</v>
      </c>
    </row>
    <row r="7" spans="1:7" x14ac:dyDescent="0.25">
      <c r="B7" s="9" t="s">
        <v>10</v>
      </c>
      <c r="C7" s="9"/>
      <c r="D7" s="6">
        <v>1.778</v>
      </c>
      <c r="F7" s="5" t="s">
        <v>9</v>
      </c>
      <c r="G7" s="6">
        <v>90</v>
      </c>
    </row>
  </sheetData>
  <mergeCells count="2">
    <mergeCell ref="B7:C7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Guedes</dc:creator>
  <cp:lastModifiedBy>Leonor Guedes</cp:lastModifiedBy>
  <dcterms:created xsi:type="dcterms:W3CDTF">2026-02-11T15:49:38Z</dcterms:created>
  <dcterms:modified xsi:type="dcterms:W3CDTF">2026-03-12T16:41:04Z</dcterms:modified>
</cp:coreProperties>
</file>